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us\Downloads\"/>
    </mc:Choice>
  </mc:AlternateContent>
  <xr:revisionPtr revIDLastSave="0" documentId="13_ncr:1_{40C439F0-E95C-4A7E-BFDA-7485A6FD2EFD}" xr6:coauthVersionLast="47" xr6:coauthVersionMax="47" xr10:uidLastSave="{00000000-0000-0000-0000-000000000000}"/>
  <bookViews>
    <workbookView xWindow="-108" yWindow="-108" windowWidth="23256" windowHeight="12456" firstSheet="4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3" l="1"/>
  <c r="L4" i="13"/>
  <c r="L5" i="13"/>
  <c r="L6" i="13"/>
  <c r="L7" i="13"/>
  <c r="L8" i="13"/>
  <c r="L9" i="13"/>
  <c r="L10" i="13"/>
  <c r="L2" i="13"/>
  <c r="K3" i="13"/>
  <c r="K4" i="13"/>
  <c r="K5" i="13"/>
  <c r="K6" i="13"/>
  <c r="K7" i="13"/>
  <c r="K8" i="13"/>
  <c r="K9" i="13"/>
  <c r="K10" i="13"/>
  <c r="K2" i="13"/>
  <c r="J6" i="13"/>
  <c r="J3" i="13"/>
  <c r="J4" i="13"/>
  <c r="J5" i="13"/>
  <c r="J7" i="13"/>
  <c r="J8" i="13"/>
  <c r="J9" i="13"/>
  <c r="J10" i="13"/>
  <c r="J2" i="13"/>
  <c r="L2" i="5"/>
  <c r="K2" i="5"/>
  <c r="J2" i="5"/>
  <c r="L2" i="12"/>
  <c r="K2" i="12"/>
  <c r="J2" i="12"/>
  <c r="L2" i="7" a="1"/>
  <c r="L2" i="7" s="1"/>
  <c r="K2" i="7" a="1"/>
  <c r="K2" i="7" s="1"/>
  <c r="J2" i="7" a="1"/>
  <c r="J2" i="7" s="1"/>
  <c r="J2" i="1"/>
  <c r="J3" i="1"/>
  <c r="J4" i="1"/>
  <c r="J5" i="1"/>
  <c r="J6" i="1"/>
  <c r="J7" i="1"/>
  <c r="J8" i="1"/>
  <c r="J9" i="1"/>
  <c r="J10" i="1"/>
  <c r="K3" i="6"/>
  <c r="K4" i="6"/>
  <c r="K5" i="6"/>
  <c r="K6" i="6"/>
  <c r="K7" i="6"/>
  <c r="K8" i="6"/>
  <c r="K9" i="6"/>
  <c r="K10" i="6"/>
  <c r="K2" i="6"/>
  <c r="J2" i="6" a="1"/>
  <c r="J2" i="6" s="1"/>
  <c r="J2" i="3" a="1"/>
  <c r="J2" i="3" s="1"/>
  <c r="M2" i="4" a="1"/>
  <c r="M2" i="4" s="1"/>
  <c r="L2" i="4" a="1"/>
  <c r="L2" i="4" s="1"/>
  <c r="K2" i="4" a="1"/>
  <c r="K2" i="4" s="1"/>
  <c r="J2" i="2" a="1"/>
  <c r="J2" i="2" s="1"/>
  <c r="K2" i="8" a="1"/>
  <c r="K2" i="8" s="1"/>
  <c r="J2" i="8" a="1"/>
  <c r="J2" i="8" s="1"/>
  <c r="K4" i="9"/>
  <c r="J4" i="9"/>
  <c r="K3" i="9"/>
  <c r="J3" i="9"/>
  <c r="K2" i="9"/>
  <c r="J2" i="9"/>
  <c r="H11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<sst xmlns="http://schemas.openxmlformats.org/spreadsheetml/2006/main" count="585" uniqueCount="91">
  <si>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</si>
  <si>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</si>
  <si>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</si>
  <si>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</si>
  <si>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</si>
  <si>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</si>
  <si>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</si>
  <si>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</si>
  <si>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</si>
  <si>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</si>
  <si>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</si>
  <si>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</si>
  <si>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</si>
  <si>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</si>
  <si>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</si>
  <si>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</si>
  <si>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</si>
  <si>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</si>
  <si>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</si>
  <si>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</si>
  <si>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</si>
  <si>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</si>
  <si>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</si>
  <si>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</si>
  <si>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</si>
  <si>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</si>
  <si>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</si>
  <si>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</si>
  <si>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</si>
  <si>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</si>
  <si>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</si>
  <si>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</si>
  <si>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</si>
  <si>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</si>
  <si>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</si>
  <si>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</si>
  <si>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</si>
  <si>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</si>
  <si>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</si>
  <si>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</si>
  <si>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</si>
  <si>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</si>
  <si>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</si>
  <si>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</si>
  <si>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</si>
  <si>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</si>
  <si>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</si>
  <si>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</si>
  <si>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</si>
  <si>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</si>
  <si>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</si>
  <si>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</si>
  <si>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</si>
  <si>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</si>
  <si>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</si>
  <si>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</si>
  <si>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</si>
  <si>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</si>
  <si>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</si>
  <si>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</si>
  <si>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</si>
  <si>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</si>
  <si>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</si>
  <si>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</si>
  <si>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</si>
  <si>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</si>
  <si>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</si>
  <si>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</si>
  <si>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</si>
  <si>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</si>
  <si>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</si>
  <si>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</si>
  <si>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</si>
  <si>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</si>
  <si>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</si>
  <si>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</si>
  <si>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</si>
  <si>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</si>
  <si>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</si>
  <si>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</si>
  <si>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</si>
  <si>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</si>
  <si>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</si>
  <si>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</si>
  <si>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</si>
  <si>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</si>
  <si>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</si>
  <si>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</si>
  <si>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=right(J2#,4</t>
  </si>
  <si>
    <t>5-6-2001</t>
  </si>
  <si>
    <t>HOLIDAYS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</si>
</sst>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workbookViewId="0">
      <selection activeCell="K5" sqref="K5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MAX(H1:H10)</f>
        <v>37933</v>
      </c>
      <c r="K2" s="1">
        <f>MIN(I1:I10)</f>
        <v>40800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>MAX(G1:G10)</f>
        <v>65000</v>
      </c>
      <c r="K3">
        <f>MIN(G1:G11)</f>
        <v>36000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>MAX(D1:D10)</f>
        <v>38</v>
      </c>
      <c r="K4">
        <f>MIN(D1:D10)</f>
        <v>29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workbookViewId="0">
      <selection activeCell="K3" sqref="K3"/>
    </sheetView>
  </sheetViews>
  <sheetFormatPr defaultColWidth="13.6640625" defaultRowHeight="14.4" x14ac:dyDescent="0.3"/>
  <cols>
    <col min="1" max="1" width="10.77734375" bestFit="1" customWidth="1"/>
    <col min="4" max="4" width="7.6640625" customWidth="1"/>
    <col min="11" max="11" width="18.8867187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IF(D2:D10&gt;30,"Old","Young")</f>
        <v>Young</v>
      </c>
      <c r="K2" t="str" cm="1">
        <f t="array" ref="K2:K10">_xlfn.IFS(F2:F10="Salesman","Sales",F2:F10="HR","Fire")</f>
        <v>Sales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Young</v>
      </c>
      <c r="K3" t="e">
        <v>#N/A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Young</v>
      </c>
      <c r="K4" t="str">
        <v>Sales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Old</v>
      </c>
      <c r="K5" t="e">
        <v>#N/A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Old</v>
      </c>
      <c r="K6" t="str">
        <v>Fire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Old</v>
      </c>
      <c r="K7" t="e">
        <v>#N/A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Old</v>
      </c>
      <c r="K8" t="e">
        <v>#N/A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Old</v>
      </c>
      <c r="K9" t="str">
        <v>Sales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Old</v>
      </c>
      <c r="K10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J3" sqref="J3"/>
    </sheetView>
  </sheetViews>
  <sheetFormatPr defaultColWidth="10.88671875" defaultRowHeight="14.4" x14ac:dyDescent="0.3"/>
  <cols>
    <col min="1" max="1" width="10.77734375" bestFit="1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cm="1">
        <f t="array" ref="J2:J10">LEN(C2:C10)</f>
        <v>7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v>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v>7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6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10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5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6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topLeftCell="B1" workbookViewId="0">
      <selection activeCell="M3" sqref="M3"/>
    </sheetView>
  </sheetViews>
  <sheetFormatPr defaultColWidth="14.5546875" defaultRowHeight="14.4" x14ac:dyDescent="0.3"/>
  <cols>
    <col min="4" max="4" width="8" customWidth="1"/>
    <col min="10" max="10" width="40.6640625" bestFit="1" customWidth="1"/>
  </cols>
  <sheetData>
    <row r="1" spans="1:13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 cm="1">
        <f t="array" ref="K2:K10">LEFT(B2:B10,3)</f>
        <v>Jim</v>
      </c>
      <c r="L2" t="str" cm="1">
        <f t="array" ref="L2:L10">RIGHT(A2:A10,3)</f>
        <v>001</v>
      </c>
      <c r="M2" t="str" cm="1">
        <f t="array" ref="M2:M10">RIGHT(H2:H10,4)</f>
        <v>2001</v>
      </c>
    </row>
    <row r="3" spans="1:13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v>Pam</v>
      </c>
      <c r="L3" t="str">
        <v>002</v>
      </c>
      <c r="M3" t="str">
        <v>1999</v>
      </c>
    </row>
    <row r="4" spans="1:13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v>Dwi</v>
      </c>
      <c r="L4" t="str">
        <v>003</v>
      </c>
      <c r="M4" t="str">
        <v>2000</v>
      </c>
    </row>
    <row r="5" spans="1:13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v>Ang</v>
      </c>
      <c r="L5" t="str">
        <v>004</v>
      </c>
      <c r="M5" t="str">
        <v>2000</v>
      </c>
    </row>
    <row r="6" spans="1:13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v>Tob</v>
      </c>
      <c r="L6" t="str">
        <v>005</v>
      </c>
      <c r="M6" t="str">
        <v>2001</v>
      </c>
    </row>
    <row r="7" spans="1:13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v>Mic</v>
      </c>
      <c r="L7" t="str">
        <v>006</v>
      </c>
      <c r="M7" t="str">
        <v>2001</v>
      </c>
    </row>
    <row r="8" spans="1:13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v>Mer</v>
      </c>
      <c r="L8" t="str">
        <v>007</v>
      </c>
      <c r="M8" t="str">
        <v>2003</v>
      </c>
    </row>
    <row r="9" spans="1:13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v>Sta</v>
      </c>
      <c r="L9" t="str">
        <v>008</v>
      </c>
      <c r="M9" t="str">
        <v>2002</v>
      </c>
    </row>
    <row r="10" spans="1:13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v>Kev</v>
      </c>
      <c r="L10" t="str">
        <v>009</v>
      </c>
      <c r="M10" t="str"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K13"/>
  <sheetViews>
    <sheetView workbookViewId="0">
      <selection activeCell="K3" sqref="K3"/>
    </sheetView>
  </sheetViews>
  <sheetFormatPr defaultColWidth="13.6640625" defaultRowHeight="14.4" x14ac:dyDescent="0.3"/>
  <cols>
    <col min="1" max="1" width="10.77734375" bestFit="1" customWidth="1"/>
    <col min="4" max="4" width="7.6640625" customWidth="1"/>
    <col min="10" max="10" width="20.77734375" bestFit="1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TEXT(H2:H10,"dd/mm/yyyy")</f>
        <v>02/11/2001</v>
      </c>
      <c r="K2" s="2" t="s">
        <v>88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03/10/1999</v>
      </c>
      <c r="K3" s="2"/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04/07/2000</v>
      </c>
      <c r="K4" s="2"/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05/01/2000</v>
      </c>
      <c r="K5" s="2"/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06/05/2001</v>
      </c>
      <c r="K6" s="2"/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07/12/1995</v>
      </c>
      <c r="K7" s="2"/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08/11/2003</v>
      </c>
      <c r="K8" s="2"/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09/06/2002</v>
      </c>
      <c r="K9" s="2"/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10/08/2003</v>
      </c>
      <c r="K10" s="2"/>
    </row>
    <row r="12" spans="1:11" x14ac:dyDescent="0.3">
      <c r="H12" s="1"/>
    </row>
    <row r="13" spans="1:11" x14ac:dyDescent="0.3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L9" sqref="L9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3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  <c r="K2" t="str">
        <f>_xlfn.CONCAT(B2," ",J2)</f>
        <v>Jim Halpert</v>
      </c>
    </row>
    <row r="3" spans="1:11" x14ac:dyDescent="0.3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Beasley</v>
      </c>
      <c r="K3" t="str">
        <f t="shared" ref="K3:K10" si="0">_xlfn.CONCAT(B3," ",J3)</f>
        <v>Pam Beasley</v>
      </c>
    </row>
    <row r="4" spans="1:11" x14ac:dyDescent="0.3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Schrute</v>
      </c>
      <c r="K4" t="str">
        <f t="shared" si="0"/>
        <v>Dwight Schrute</v>
      </c>
    </row>
    <row r="5" spans="1:11" x14ac:dyDescent="0.3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Martin</v>
      </c>
      <c r="K5" t="str">
        <f t="shared" si="0"/>
        <v>Angela Martin</v>
      </c>
    </row>
    <row r="6" spans="1:11" x14ac:dyDescent="0.3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Flenderson</v>
      </c>
      <c r="K6" t="str">
        <f t="shared" si="0"/>
        <v>Toby Flenderson</v>
      </c>
    </row>
    <row r="7" spans="1:11" x14ac:dyDescent="0.3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Scott</v>
      </c>
      <c r="K7" t="str">
        <f t="shared" si="0"/>
        <v>Michael Scott</v>
      </c>
    </row>
    <row r="8" spans="1:11" x14ac:dyDescent="0.3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  <c r="K8" t="str">
        <f t="shared" si="0"/>
        <v>Meredith Palmer</v>
      </c>
    </row>
    <row r="9" spans="1:11" x14ac:dyDescent="0.3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Hudson</v>
      </c>
      <c r="K9" t="str">
        <f t="shared" si="0"/>
        <v>Stanley Hudson</v>
      </c>
    </row>
    <row r="10" spans="1:11" x14ac:dyDescent="0.3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Malone</v>
      </c>
      <c r="K10" t="str">
        <f t="shared" si="0"/>
        <v>Kevin 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M6" sqref="M6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 cm="1">
        <f t="array" ref="J2:J10">SUBSTITUTE(H2:H10,"/","-",1)</f>
        <v>11-2/2001</v>
      </c>
      <c r="K2" t="str" cm="1">
        <f t="array" ref="K2:K10">SUBSTITUTE(H2:H10,"/","-",2)</f>
        <v>11/2-2001</v>
      </c>
      <c r="L2" t="str" cm="1">
        <f t="array" ref="L2:L10">SUBSTITUTE(H2:H10,"/","-")</f>
        <v>11-2-2001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v>10-3/1999</v>
      </c>
      <c r="K3" t="str">
        <v>10/3-1999</v>
      </c>
      <c r="L3" t="str">
        <v>10-3-1999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v>7-4/2000</v>
      </c>
      <c r="K4" t="str">
        <v>7/4-2000</v>
      </c>
      <c r="L4" t="str">
        <v>7-4-2000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t="str">
        <v>1-5/2000</v>
      </c>
      <c r="K5" t="str">
        <v>1/5-2000</v>
      </c>
      <c r="L5" t="str">
        <v>1-5-2000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89</v>
      </c>
      <c r="I6" s="2" t="s">
        <v>60</v>
      </c>
      <c r="J6" t="str">
        <v>5-6-2001</v>
      </c>
      <c r="K6" t="str">
        <v>5-6-2001</v>
      </c>
      <c r="L6" t="str">
        <v>5-6-2001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v>5-6/2001</v>
      </c>
      <c r="K7" t="str">
        <v>5/6-2001</v>
      </c>
      <c r="L7" t="str">
        <v>5-6-2001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v>11-8/2003</v>
      </c>
      <c r="K8" t="str">
        <v>11/8-2003</v>
      </c>
      <c r="L8" t="str">
        <v>11-8-2003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v>6-9/2002</v>
      </c>
      <c r="K9" t="str">
        <v>6/9-2002</v>
      </c>
      <c r="L9" t="str">
        <v>6-9-2002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v>8-10/2003</v>
      </c>
      <c r="K10" t="str">
        <v>8/10-2003</v>
      </c>
      <c r="L10" t="str">
        <v>8-10-2003</v>
      </c>
    </row>
    <row r="12" spans="1:12" x14ac:dyDescent="0.3">
      <c r="H12" s="2"/>
      <c r="I12" s="2"/>
    </row>
    <row r="13" spans="1:12" x14ac:dyDescent="0.3">
      <c r="H13" s="2"/>
      <c r="I13" s="2"/>
    </row>
    <row r="14" spans="1:12" x14ac:dyDescent="0.3">
      <c r="H14" s="2"/>
      <c r="I14" s="2"/>
    </row>
    <row r="15" spans="1:12" x14ac:dyDescent="0.3">
      <c r="H15" s="2"/>
      <c r="I15" s="2"/>
    </row>
    <row r="16" spans="1:12" x14ac:dyDescent="0.3">
      <c r="H16" s="2"/>
      <c r="I16" s="2"/>
    </row>
    <row r="17" spans="8:9" x14ac:dyDescent="0.3">
      <c r="H17" s="2"/>
      <c r="I17" s="2"/>
    </row>
    <row r="18" spans="8:9" x14ac:dyDescent="0.3">
      <c r="H18" s="2"/>
      <c r="I18" s="2"/>
    </row>
    <row r="19" spans="8:9" x14ac:dyDescent="0.3">
      <c r="H19" s="2"/>
      <c r="I19" s="2"/>
    </row>
    <row r="20" spans="8:9" x14ac:dyDescent="0.3">
      <c r="H20" s="2"/>
      <c r="I20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L3" sqref="L3"/>
    </sheetView>
  </sheetViews>
  <sheetFormatPr defaultColWidth="13" defaultRowHeight="14.4" x14ac:dyDescent="0.3"/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SUMIFS(G2:G10,E2:E10,"Female",D2:D10,"&gt;30")</f>
        <v>88000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L2" sqref="L2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COUNTIF(E2:E10,"Female")</f>
        <v>3</v>
      </c>
      <c r="L2">
        <f>COUNTIFS(F2:F10,"Salesman",D2:D10,"&gt;30")</f>
        <v>1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J12"/>
  <sheetViews>
    <sheetView workbookViewId="0">
      <selection activeCell="M10" sqref="M10"/>
    </sheetView>
  </sheetViews>
  <sheetFormatPr defaultRowHeight="14.4" x14ac:dyDescent="0.3"/>
  <cols>
    <col min="2" max="2" width="10.44140625" customWidth="1"/>
    <col min="3" max="5" width="10.6640625" customWidth="1"/>
    <col min="6" max="6" width="16.5546875" customWidth="1"/>
    <col min="8" max="8" width="14.21875" customWidth="1"/>
    <col min="9" max="9" width="14.77734375" customWidth="1"/>
    <col min="10" max="10" width="22" bestFit="1" customWidth="1"/>
  </cols>
  <sheetData>
    <row r="1" spans="1:10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0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_xlfn.CONCAT(B2," ",C2)</f>
        <v>Jim Halpert</v>
      </c>
    </row>
    <row r="3" spans="1:10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_xlfn.CONCAT(B3," ",C3)</f>
        <v>Pam Beasley</v>
      </c>
    </row>
    <row r="4" spans="1:10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</row>
    <row r="5" spans="1:10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</row>
    <row r="6" spans="1:10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</row>
    <row r="7" spans="1:10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</row>
    <row r="8" spans="1:10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</row>
    <row r="9" spans="1:10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</row>
    <row r="10" spans="1:10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</row>
    <row r="11" spans="1:10" x14ac:dyDescent="0.3">
      <c r="H11" t="str">
        <f t="shared" ref="H11:H12" si="1">CONCATENATE(B11," ",C11)</f>
        <v xml:space="preserve"> </v>
      </c>
    </row>
    <row r="12" spans="1:10" x14ac:dyDescent="0.3">
      <c r="H12" t="str">
        <f t="shared" si="1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L10"/>
  <sheetViews>
    <sheetView tabSelected="1" workbookViewId="0">
      <selection activeCell="L2" sqref="L2"/>
    </sheetView>
  </sheetViews>
  <sheetFormatPr defaultRowHeight="14.4" x14ac:dyDescent="0.3"/>
  <cols>
    <col min="8" max="8" width="14.44140625" customWidth="1"/>
    <col min="9" max="9" width="13.33203125" customWidth="1"/>
    <col min="10" max="10" width="8.109375" bestFit="1" customWidth="1"/>
    <col min="11" max="11" width="13.88671875" bestFit="1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  <c r="L1" t="s">
        <v>90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>
        <f>_xlfn.DAYS(I2,H2)</f>
        <v>5231</v>
      </c>
      <c r="K2">
        <f>NETWORKDAYS(H2,I2)</f>
        <v>3737</v>
      </c>
      <c r="L2">
        <f>J2-K2</f>
        <v>1494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>
        <f t="shared" ref="J3:J10" si="0">_xlfn.DAYS(I3,H3)</f>
        <v>6058</v>
      </c>
      <c r="K3">
        <f t="shared" ref="K3:K10" si="1">NETWORKDAYS(H3,I3)</f>
        <v>4328</v>
      </c>
      <c r="L3">
        <f t="shared" ref="L3:L10" si="2">J3-K3</f>
        <v>1730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>
        <f t="shared" si="0"/>
        <v>6333</v>
      </c>
      <c r="K4">
        <f t="shared" si="1"/>
        <v>4524</v>
      </c>
      <c r="L4">
        <f t="shared" si="2"/>
        <v>1809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>
        <f t="shared" si="0"/>
        <v>5428</v>
      </c>
      <c r="K5">
        <f t="shared" si="1"/>
        <v>3879</v>
      </c>
      <c r="L5">
        <f t="shared" si="2"/>
        <v>1549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e">
        <f>_xlfn.DAYS(I6,H6)</f>
        <v>#VALUE!</v>
      </c>
      <c r="K6" t="e">
        <f t="shared" si="1"/>
        <v>#VALUE!</v>
      </c>
      <c r="L6" t="e">
        <f t="shared" si="2"/>
        <v>#VALUE!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>
        <f t="shared" si="0"/>
        <v>4540</v>
      </c>
      <c r="K7">
        <f t="shared" si="1"/>
        <v>3244</v>
      </c>
      <c r="L7">
        <f t="shared" si="2"/>
        <v>1296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>
        <f t="shared" si="0"/>
        <v>3743</v>
      </c>
      <c r="K8">
        <f t="shared" si="1"/>
        <v>2675</v>
      </c>
      <c r="L8">
        <f t="shared" si="2"/>
        <v>1068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e">
        <f t="shared" si="0"/>
        <v>#VALUE!</v>
      </c>
      <c r="K9" t="e">
        <f t="shared" si="1"/>
        <v>#VALUE!</v>
      </c>
      <c r="L9" t="e">
        <f t="shared" si="2"/>
        <v>#VALUE!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e">
        <f t="shared" si="0"/>
        <v>#VALUE!</v>
      </c>
      <c r="K10" t="e">
        <f t="shared" si="1"/>
        <v>#VALUE!</v>
      </c>
      <c r="L10" t="e">
        <f t="shared" si="2"/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Ankush Wadhwa</cp:lastModifiedBy>
  <dcterms:created xsi:type="dcterms:W3CDTF">2021-12-16T14:18:34Z</dcterms:created>
  <dcterms:modified xsi:type="dcterms:W3CDTF">2026-01-16T19:21:40Z</dcterms:modified>
</cp:coreProperties>
</file>